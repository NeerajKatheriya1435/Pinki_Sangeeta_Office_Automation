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add Mentor\Student_Class_Code\SangeetaPinki_Basic_Comp\Excel_Practice_Files\"/>
    </mc:Choice>
  </mc:AlternateContent>
  <xr:revisionPtr revIDLastSave="0" documentId="13_ncr:1_{55DE6C05-D537-46D1-9116-AA7FC57A531E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Practice Date Formule" sheetId="1" r:id="rId1"/>
    <sheet name="Sheet3" sheetId="5" r:id="rId2"/>
    <sheet name="Sheet5" sheetId="7" r:id="rId3"/>
    <sheet name="Sheet6" sheetId="8" r:id="rId4"/>
    <sheet name="Sheet1" sheetId="9" r:id="rId5"/>
    <sheet name="Sheet2" sheetId="10" r:id="rId6"/>
    <sheet name="Sheet7" sheetId="11" r:id="rId7"/>
    <sheet name="Sheet8" sheetId="12" r:id="rId8"/>
    <sheet name="Sheet9" sheetId="13" r:id="rId9"/>
  </sheets>
  <definedNames>
    <definedName name="Item">Sheet7!$B$2:$B$5</definedName>
    <definedName name="Manager">Sheet7!$A$2:$A$5</definedName>
    <definedName name="Mobile_Num">Sheet7!$G$2:$G$5</definedName>
    <definedName name="Payment_Type">Sheet7!$F$2:$F$5</definedName>
    <definedName name="Sale_amt">Sheet7!$E$2:$E$5</definedName>
    <definedName name="Unit_price">Sheet7!$D$2:$D$5</definedName>
    <definedName name="Unit_Price_New">Sheet7!$D$1:$D$5</definedName>
    <definedName name="Units">Sheet7!$C$2:$C$5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0" l="1"/>
  <c r="H67" i="13"/>
  <c r="G67" i="13"/>
  <c r="F67" i="13"/>
  <c r="H10" i="13"/>
  <c r="H14" i="13"/>
  <c r="H18" i="13"/>
  <c r="H26" i="13"/>
  <c r="H30" i="13"/>
  <c r="H34" i="13"/>
  <c r="H42" i="13"/>
  <c r="H46" i="13"/>
  <c r="H50" i="13"/>
  <c r="H62" i="13"/>
  <c r="H66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7" i="13"/>
  <c r="F8" i="13"/>
  <c r="H8" i="13" s="1"/>
  <c r="F9" i="13"/>
  <c r="H9" i="13" s="1"/>
  <c r="F10" i="13"/>
  <c r="F11" i="13"/>
  <c r="H11" i="13" s="1"/>
  <c r="F12" i="13"/>
  <c r="H12" i="13" s="1"/>
  <c r="F13" i="13"/>
  <c r="H13" i="13" s="1"/>
  <c r="F14" i="13"/>
  <c r="F15" i="13"/>
  <c r="H15" i="13" s="1"/>
  <c r="F16" i="13"/>
  <c r="H16" i="13" s="1"/>
  <c r="F17" i="13"/>
  <c r="H17" i="13" s="1"/>
  <c r="F18" i="13"/>
  <c r="F19" i="13"/>
  <c r="H19" i="13" s="1"/>
  <c r="F20" i="13"/>
  <c r="H20" i="13" s="1"/>
  <c r="F21" i="13"/>
  <c r="H21" i="13" s="1"/>
  <c r="F22" i="13"/>
  <c r="H22" i="13" s="1"/>
  <c r="F23" i="13"/>
  <c r="H23" i="13" s="1"/>
  <c r="F24" i="13"/>
  <c r="H24" i="13" s="1"/>
  <c r="F25" i="13"/>
  <c r="H25" i="13" s="1"/>
  <c r="F26" i="13"/>
  <c r="F27" i="13"/>
  <c r="H27" i="13" s="1"/>
  <c r="F28" i="13"/>
  <c r="H28" i="13" s="1"/>
  <c r="F29" i="13"/>
  <c r="H29" i="13" s="1"/>
  <c r="F30" i="13"/>
  <c r="F31" i="13"/>
  <c r="H31" i="13" s="1"/>
  <c r="F32" i="13"/>
  <c r="H32" i="13" s="1"/>
  <c r="F33" i="13"/>
  <c r="H33" i="13" s="1"/>
  <c r="F34" i="13"/>
  <c r="F35" i="13"/>
  <c r="H35" i="13" s="1"/>
  <c r="F36" i="13"/>
  <c r="H36" i="13" s="1"/>
  <c r="F37" i="13"/>
  <c r="H37" i="13" s="1"/>
  <c r="F38" i="13"/>
  <c r="H38" i="13" s="1"/>
  <c r="F39" i="13"/>
  <c r="H39" i="13" s="1"/>
  <c r="F40" i="13"/>
  <c r="H40" i="13" s="1"/>
  <c r="F41" i="13"/>
  <c r="H41" i="13" s="1"/>
  <c r="F42" i="13"/>
  <c r="F43" i="13"/>
  <c r="H43" i="13" s="1"/>
  <c r="F44" i="13"/>
  <c r="H44" i="13" s="1"/>
  <c r="F45" i="13"/>
  <c r="H45" i="13" s="1"/>
  <c r="F46" i="13"/>
  <c r="F47" i="13"/>
  <c r="F48" i="13"/>
  <c r="H48" i="13" s="1"/>
  <c r="F49" i="13"/>
  <c r="H49" i="13" s="1"/>
  <c r="F50" i="13"/>
  <c r="F51" i="13"/>
  <c r="H51" i="13" s="1"/>
  <c r="F52" i="13"/>
  <c r="H52" i="13" s="1"/>
  <c r="F53" i="13"/>
  <c r="H53" i="13" s="1"/>
  <c r="F54" i="13"/>
  <c r="H54" i="13" s="1"/>
  <c r="F55" i="13"/>
  <c r="H55" i="13" s="1"/>
  <c r="F56" i="13"/>
  <c r="H56" i="13" s="1"/>
  <c r="F57" i="13"/>
  <c r="H57" i="13" s="1"/>
  <c r="F58" i="13"/>
  <c r="H58" i="13" s="1"/>
  <c r="F59" i="13"/>
  <c r="H59" i="13" s="1"/>
  <c r="F60" i="13"/>
  <c r="H60" i="13" s="1"/>
  <c r="F61" i="13"/>
  <c r="H61" i="13" s="1"/>
  <c r="F62" i="13"/>
  <c r="F63" i="13"/>
  <c r="H63" i="13" s="1"/>
  <c r="F64" i="13"/>
  <c r="H64" i="13" s="1"/>
  <c r="F65" i="13"/>
  <c r="H65" i="13" s="1"/>
  <c r="F66" i="13"/>
  <c r="F7" i="13"/>
  <c r="C7" i="13"/>
  <c r="C8" i="13" s="1"/>
  <c r="C9" i="13" s="1"/>
  <c r="E5" i="12"/>
  <c r="E6" i="12"/>
  <c r="E3" i="12"/>
  <c r="E4" i="12"/>
  <c r="E2" i="12"/>
  <c r="D33" i="11"/>
  <c r="I10" i="11"/>
  <c r="I15" i="11"/>
  <c r="D8" i="11"/>
  <c r="C7" i="11"/>
  <c r="E8" i="11"/>
  <c r="E7" i="11"/>
  <c r="E8" i="8"/>
  <c r="F3" i="5"/>
  <c r="F4" i="5"/>
  <c r="F5" i="5"/>
  <c r="F6" i="5"/>
  <c r="F2" i="5"/>
  <c r="E3" i="5"/>
  <c r="E4" i="5"/>
  <c r="E5" i="5"/>
  <c r="E6" i="5"/>
  <c r="E2" i="5"/>
  <c r="H47" i="13" l="1"/>
  <c r="H7" i="13"/>
  <c r="I6" i="1"/>
  <c r="I4" i="1"/>
  <c r="I2" i="1"/>
  <c r="E4" i="1"/>
  <c r="B2" i="1"/>
  <c r="C2" i="1" s="1"/>
  <c r="A2" i="1"/>
  <c r="H2" i="1" l="1"/>
  <c r="G2" i="1"/>
  <c r="F2" i="1"/>
  <c r="E2" i="1"/>
  <c r="D2" i="1"/>
  <c r="H12" i="9"/>
  <c r="H9" i="9"/>
  <c r="H7" i="9"/>
  <c r="H5" i="9"/>
  <c r="D11" i="10"/>
  <c r="F10" i="9"/>
</calcChain>
</file>

<file path=xl/sharedStrings.xml><?xml version="1.0" encoding="utf-8"?>
<sst xmlns="http://schemas.openxmlformats.org/spreadsheetml/2006/main" count="263" uniqueCount="69">
  <si>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</si>
  <si>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</si>
  <si>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</si>
  <si>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</si>
  <si>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</si>
  <si>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</si>
  <si>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</si>
  <si>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</si>
  <si>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</si>
  <si>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</si>
  <si>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</si>
  <si>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</si>
  <si>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</si>
  <si>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</si>
  <si>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</si>
  <si>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</si>
  <si>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</si>
  <si>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</si>
  <si>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</si>
  <si>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</si>
  <si>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</si>
  <si>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</si>
  <si>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</si>
  <si>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</si>
  <si>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</si>
  <si>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</si>
  <si>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</si>
  <si>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</si>
  <si>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</si>
  <si>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</si>
  <si>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</si>
  <si>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</si>
  <si>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</si>
  <si>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</si>
  <si>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</si>
  <si>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</si>
  <si>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</si>
  <si>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</si>
  <si>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</si>
  <si>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</si>
  <si>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</si>
  <si>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</si>
  <si>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</si>
  <si>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</si>
  <si>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</si>
  <si>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</si>
  <si>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</si>
  <si>
    <t>Amount</t>
  </si>
  <si>
    <t>RowNumber</t>
  </si>
  <si>
    <t>Column Number</t>
  </si>
  <si>
    <t>Name</t>
  </si>
  <si>
    <t>Hindi</t>
  </si>
  <si>
    <t>Maths</t>
  </si>
  <si>
    <t>English</t>
  </si>
  <si>
    <t>Pinki</t>
  </si>
  <si>
    <t>Shubham</t>
  </si>
  <si>
    <t>Rohan</t>
  </si>
  <si>
    <t>Shivani</t>
  </si>
  <si>
    <t>Sangeeta</t>
  </si>
  <si>
    <t>Total</t>
  </si>
  <si>
    <t>Grading System</t>
  </si>
  <si>
    <t>Mobile Num</t>
  </si>
  <si>
    <t>Rate</t>
  </si>
  <si>
    <t>Interest</t>
  </si>
  <si>
    <t>EMI/Month</t>
  </si>
  <si>
    <t>Total Payment</t>
  </si>
  <si>
    <t>Intrest</t>
  </si>
  <si>
    <t>Actual Amount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</si>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</sst>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6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14" fontId="0" fillId="0" borderId="0" xfId="0" applyNumberFormat="1"/>
    <xf numFmtId="22" fontId="0" fillId="0" borderId="0" xfId="0" applyNumberFormat="1"/>
    <xf numFmtId="0" fontId="3" fillId="3" borderId="0" xfId="1" applyNumberFormat="1" applyFont="1" applyFill="1" applyBorder="1" applyAlignment="1"/>
    <xf numFmtId="43" fontId="1" fillId="3" borderId="2" xfId="2" applyNumberFormat="1" applyFont="1" applyFill="1" applyBorder="1" applyAlignment="1">
      <alignment horizontal="left" vertical="center"/>
    </xf>
    <xf numFmtId="0" fontId="0" fillId="4" borderId="2" xfId="0" applyFont="1" applyFill="1" applyBorder="1"/>
    <xf numFmtId="0" fontId="0" fillId="4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14" fontId="0" fillId="4" borderId="1" xfId="0" applyNumberFormat="1" applyFont="1" applyFill="1" applyBorder="1"/>
    <xf numFmtId="14" fontId="0" fillId="0" borderId="1" xfId="0" applyNumberFormat="1" applyFont="1" applyBorder="1"/>
    <xf numFmtId="0" fontId="3" fillId="3" borderId="1" xfId="1" applyNumberFormat="1" applyFont="1" applyFill="1" applyBorder="1" applyAlignment="1"/>
    <xf numFmtId="0" fontId="3" fillId="3" borderId="2" xfId="1" applyNumberFormat="1" applyFont="1" applyFill="1" applyBorder="1" applyAlignment="1"/>
    <xf numFmtId="0" fontId="3" fillId="3" borderId="3" xfId="1" applyNumberFormat="1" applyFont="1" applyFill="1" applyBorder="1" applyAlignment="1"/>
    <xf numFmtId="0" fontId="0" fillId="4" borderId="0" xfId="0" applyFont="1" applyFill="1" applyBorder="1"/>
    <xf numFmtId="0" fontId="0" fillId="5" borderId="0" xfId="0" applyFill="1"/>
    <xf numFmtId="9" fontId="0" fillId="0" borderId="0" xfId="0" applyNumberFormat="1"/>
    <xf numFmtId="8" fontId="0" fillId="0" borderId="0" xfId="0" applyNumberFormat="1"/>
    <xf numFmtId="166" fontId="0" fillId="0" borderId="0" xfId="0" applyNumberFormat="1"/>
    <xf numFmtId="43" fontId="1" fillId="3" borderId="2" xfId="2" applyNumberFormat="1" applyFont="1" applyFill="1" applyBorder="1" applyAlignment="1">
      <alignment horizontal="left" vertical="top"/>
    </xf>
    <xf numFmtId="0" fontId="3" fillId="3" borderId="2" xfId="1" applyNumberFormat="1" applyFont="1" applyFill="1" applyBorder="1" applyAlignment="1">
      <alignment horizontal="left" vertical="top"/>
    </xf>
    <xf numFmtId="0" fontId="3" fillId="3" borderId="3" xfId="1" applyNumberFormat="1" applyFont="1" applyFill="1" applyBorder="1" applyAlignment="1">
      <alignment horizontal="left" vertical="top"/>
    </xf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zoomScale="160" zoomScaleNormal="160" workbookViewId="0">
      <selection activeCell="I6" sqref="I6"/>
    </sheetView>
  </sheetViews>
  <sheetFormatPr defaultRowHeight="14.4" x14ac:dyDescent="0.3"/>
  <cols>
    <col min="2" max="2" width="15.33203125" customWidth="1"/>
    <col min="5" max="5" width="8.33203125" bestFit="1" customWidth="1"/>
    <col min="7" max="7" width="13.44140625" bestFit="1" customWidth="1"/>
    <col min="9" max="9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f ca="1">TODAY()</f>
        <v>46218</v>
      </c>
      <c r="B2" s="3">
        <f ca="1">NOW()</f>
        <v>46218.581447569442</v>
      </c>
      <c r="C2">
        <f ca="1">YEAR(B2)</f>
        <v>2026</v>
      </c>
      <c r="D2">
        <f ca="1">MONTH(B2)</f>
        <v>7</v>
      </c>
      <c r="E2">
        <f ca="1">DAY(B2)</f>
        <v>15</v>
      </c>
      <c r="F2">
        <f ca="1">HOUR(B2)</f>
        <v>13</v>
      </c>
      <c r="G2" s="3">
        <f ca="1">MINUTE(B2)</f>
        <v>57</v>
      </c>
      <c r="H2">
        <f ca="1">SECOND(B2)</f>
        <v>17</v>
      </c>
      <c r="I2" s="3">
        <f>DATE(YEAR(E4),MONTH(E4),DAY(E4)+2)</f>
        <v>46218</v>
      </c>
    </row>
    <row r="4" spans="1:11" x14ac:dyDescent="0.3">
      <c r="E4" s="2">
        <f>DATE(2026,7,13)</f>
        <v>46216</v>
      </c>
      <c r="I4" s="3">
        <f>DATE(YEAR(E4),MONTH(E4)+2,DAY(E4))</f>
        <v>46278</v>
      </c>
    </row>
    <row r="5" spans="1:11" x14ac:dyDescent="0.3">
      <c r="B5" s="2"/>
    </row>
    <row r="6" spans="1:11" x14ac:dyDescent="0.3">
      <c r="I6" s="3">
        <f>DATE(YEAR(E4)+5,MONTH(E4)+2,DAY(E4))</f>
        <v>48104</v>
      </c>
    </row>
    <row r="7" spans="1:11" x14ac:dyDescent="0.3">
      <c r="B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2A5D-0CF6-49CB-BDEA-AE5CD28B1253}">
  <dimension ref="A1:F6"/>
  <sheetViews>
    <sheetView zoomScale="145" zoomScaleNormal="145" workbookViewId="0">
      <selection sqref="A1:D6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1.6640625" bestFit="1" customWidth="1"/>
    <col min="4" max="4" width="11.77734375" bestFit="1" customWidth="1"/>
    <col min="5" max="5" width="18.5546875" customWidth="1"/>
    <col min="6" max="6" width="14.109375" bestFit="1" customWidth="1"/>
  </cols>
  <sheetData>
    <row r="1" spans="1:6" x14ac:dyDescent="0.3">
      <c r="A1" t="s">
        <v>50</v>
      </c>
      <c r="B1" t="s">
        <v>51</v>
      </c>
      <c r="C1" t="s">
        <v>52</v>
      </c>
      <c r="D1" t="s">
        <v>53</v>
      </c>
      <c r="E1" t="s">
        <v>59</v>
      </c>
      <c r="F1" t="s">
        <v>60</v>
      </c>
    </row>
    <row r="2" spans="1:6" x14ac:dyDescent="0.3">
      <c r="A2" t="s">
        <v>54</v>
      </c>
      <c r="B2">
        <v>47</v>
      </c>
      <c r="C2">
        <v>27</v>
      </c>
      <c r="D2">
        <v>68</v>
      </c>
      <c r="E2">
        <f>SUM(B2:D2)</f>
        <v>142</v>
      </c>
      <c r="F2" t="str">
        <f>_xlfn.IFS(E2&gt;200,"Grade A",E2&gt;150,"Grade B",E2&gt;100,"Grade C",E2&gt;1,"Fail")</f>
        <v>Grade C</v>
      </c>
    </row>
    <row r="3" spans="1:6" x14ac:dyDescent="0.3">
      <c r="A3" t="s">
        <v>55</v>
      </c>
      <c r="B3">
        <v>69</v>
      </c>
      <c r="C3">
        <v>59</v>
      </c>
      <c r="D3">
        <v>42</v>
      </c>
      <c r="E3">
        <f t="shared" ref="E3:E6" si="0">SUM(B3:D3)</f>
        <v>170</v>
      </c>
      <c r="F3" t="str">
        <f t="shared" ref="F3:F6" si="1">_xlfn.IFS(E3&gt;200,"Grade A",E3&gt;150,"Grade B",E3&gt;100,"Grade C",E3&gt;1,"Fail")</f>
        <v>Grade B</v>
      </c>
    </row>
    <row r="4" spans="1:6" x14ac:dyDescent="0.3">
      <c r="A4" t="s">
        <v>56</v>
      </c>
      <c r="B4">
        <v>76</v>
      </c>
      <c r="C4">
        <v>67</v>
      </c>
      <c r="D4">
        <v>80</v>
      </c>
      <c r="E4">
        <f t="shared" si="0"/>
        <v>223</v>
      </c>
      <c r="F4" t="str">
        <f t="shared" si="1"/>
        <v>Grade A</v>
      </c>
    </row>
    <row r="5" spans="1:6" x14ac:dyDescent="0.3">
      <c r="A5" t="s">
        <v>57</v>
      </c>
      <c r="B5">
        <v>55</v>
      </c>
      <c r="C5">
        <v>35</v>
      </c>
      <c r="D5">
        <v>46</v>
      </c>
      <c r="E5">
        <f t="shared" si="0"/>
        <v>136</v>
      </c>
      <c r="F5" t="str">
        <f t="shared" si="1"/>
        <v>Grade C</v>
      </c>
    </row>
    <row r="6" spans="1:6" x14ac:dyDescent="0.3">
      <c r="A6" t="s">
        <v>58</v>
      </c>
      <c r="B6">
        <v>23</v>
      </c>
      <c r="C6">
        <v>23</v>
      </c>
      <c r="D6">
        <v>44</v>
      </c>
      <c r="E6">
        <f t="shared" si="0"/>
        <v>90</v>
      </c>
      <c r="F6" t="str">
        <f t="shared" si="1"/>
        <v>Fail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FC98-DCB1-4F4A-B660-D875D1C50D6F}">
  <dimension ref="A1:I25"/>
  <sheetViews>
    <sheetView tabSelected="1" workbookViewId="0">
      <selection sqref="A1:I12"/>
    </sheetView>
  </sheetViews>
  <sheetFormatPr defaultRowHeight="14.4" x14ac:dyDescent="0.3"/>
  <sheetData>
    <row r="1" spans="1:9" x14ac:dyDescent="0.3">
      <c r="A1" s="12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5" t="s">
        <v>17</v>
      </c>
      <c r="H1" s="13" t="s">
        <v>18</v>
      </c>
      <c r="I1" s="14" t="s">
        <v>19</v>
      </c>
    </row>
    <row r="2" spans="1:9" x14ac:dyDescent="0.3">
      <c r="A2" s="10">
        <v>43106</v>
      </c>
      <c r="B2" s="6" t="s">
        <v>27</v>
      </c>
      <c r="C2" s="6" t="s">
        <v>28</v>
      </c>
      <c r="D2" s="6" t="s">
        <v>34</v>
      </c>
      <c r="E2" s="6" t="s">
        <v>45</v>
      </c>
      <c r="F2" s="6">
        <v>95</v>
      </c>
      <c r="G2" s="6">
        <v>1198</v>
      </c>
      <c r="H2" s="6">
        <v>113810</v>
      </c>
      <c r="I2" s="7" t="s">
        <v>43</v>
      </c>
    </row>
    <row r="3" spans="1:9" x14ac:dyDescent="0.3">
      <c r="A3" s="10">
        <v>43140</v>
      </c>
      <c r="B3" s="6" t="s">
        <v>20</v>
      </c>
      <c r="C3" s="6" t="s">
        <v>35</v>
      </c>
      <c r="D3" s="6" t="s">
        <v>41</v>
      </c>
      <c r="E3" s="6" t="s">
        <v>45</v>
      </c>
      <c r="F3" s="6">
        <v>36</v>
      </c>
      <c r="G3" s="6">
        <v>1198</v>
      </c>
      <c r="H3" s="6">
        <v>43128</v>
      </c>
      <c r="I3" s="7" t="s">
        <v>33</v>
      </c>
    </row>
    <row r="4" spans="1:9" x14ac:dyDescent="0.3">
      <c r="A4" s="10">
        <v>43157</v>
      </c>
      <c r="B4" s="6" t="s">
        <v>20</v>
      </c>
      <c r="C4" s="6" t="s">
        <v>21</v>
      </c>
      <c r="D4" s="6" t="s">
        <v>22</v>
      </c>
      <c r="E4" s="6" t="s">
        <v>23</v>
      </c>
      <c r="F4" s="6">
        <v>27</v>
      </c>
      <c r="G4" s="6">
        <v>225</v>
      </c>
      <c r="H4" s="6">
        <v>6075</v>
      </c>
      <c r="I4" s="7" t="s">
        <v>24</v>
      </c>
    </row>
    <row r="5" spans="1:9" x14ac:dyDescent="0.3">
      <c r="A5" s="11">
        <v>43174</v>
      </c>
      <c r="B5" s="8" t="s">
        <v>25</v>
      </c>
      <c r="C5" s="8" t="s">
        <v>21</v>
      </c>
      <c r="D5" s="8" t="s">
        <v>26</v>
      </c>
      <c r="E5" s="8" t="s">
        <v>45</v>
      </c>
      <c r="F5" s="8">
        <v>56</v>
      </c>
      <c r="G5" s="8">
        <v>1198</v>
      </c>
      <c r="H5" s="8">
        <v>67088</v>
      </c>
      <c r="I5" s="9" t="s">
        <v>43</v>
      </c>
    </row>
    <row r="6" spans="1:9" x14ac:dyDescent="0.3">
      <c r="A6" s="10">
        <v>43208</v>
      </c>
      <c r="B6" s="6" t="s">
        <v>20</v>
      </c>
      <c r="C6" s="6" t="s">
        <v>28</v>
      </c>
      <c r="D6" s="6" t="s">
        <v>42</v>
      </c>
      <c r="E6" s="6" t="s">
        <v>45</v>
      </c>
      <c r="F6" s="6">
        <v>75</v>
      </c>
      <c r="G6" s="6">
        <v>1198</v>
      </c>
      <c r="H6" s="6">
        <v>89850</v>
      </c>
      <c r="I6" s="7" t="s">
        <v>33</v>
      </c>
    </row>
    <row r="7" spans="1:9" x14ac:dyDescent="0.3">
      <c r="A7" s="10">
        <v>43225</v>
      </c>
      <c r="B7" s="6" t="s">
        <v>20</v>
      </c>
      <c r="C7" s="6" t="s">
        <v>35</v>
      </c>
      <c r="D7" s="6" t="s">
        <v>41</v>
      </c>
      <c r="E7" s="6" t="s">
        <v>45</v>
      </c>
      <c r="F7" s="6">
        <v>90</v>
      </c>
      <c r="G7" s="6">
        <v>1198</v>
      </c>
      <c r="H7" s="6">
        <v>107820</v>
      </c>
      <c r="I7" s="7" t="s">
        <v>43</v>
      </c>
    </row>
    <row r="8" spans="1:9" x14ac:dyDescent="0.3">
      <c r="A8" s="10">
        <v>43344</v>
      </c>
      <c r="B8" s="6" t="s">
        <v>20</v>
      </c>
      <c r="C8" s="6" t="s">
        <v>31</v>
      </c>
      <c r="D8" s="6" t="s">
        <v>38</v>
      </c>
      <c r="E8" s="6" t="s">
        <v>37</v>
      </c>
      <c r="F8" s="6">
        <v>2</v>
      </c>
      <c r="G8" s="6">
        <v>125</v>
      </c>
      <c r="H8" s="6">
        <v>250</v>
      </c>
      <c r="I8" s="6" t="s">
        <v>24</v>
      </c>
    </row>
    <row r="9" spans="1:9" x14ac:dyDescent="0.3">
      <c r="A9" s="11">
        <v>43701</v>
      </c>
      <c r="B9" s="8" t="s">
        <v>25</v>
      </c>
      <c r="C9" s="8" t="s">
        <v>21</v>
      </c>
      <c r="D9" s="8" t="s">
        <v>26</v>
      </c>
      <c r="E9" s="8" t="s">
        <v>37</v>
      </c>
      <c r="F9" s="8">
        <v>3</v>
      </c>
      <c r="G9" s="8">
        <v>125</v>
      </c>
      <c r="H9" s="8">
        <v>375</v>
      </c>
      <c r="I9" s="8" t="s">
        <v>30</v>
      </c>
    </row>
    <row r="10" spans="1:9" x14ac:dyDescent="0.3">
      <c r="A10" s="10">
        <v>43123</v>
      </c>
      <c r="B10" s="6" t="s">
        <v>20</v>
      </c>
      <c r="C10" s="6" t="s">
        <v>35</v>
      </c>
      <c r="D10" s="6" t="s">
        <v>36</v>
      </c>
      <c r="E10" s="6" t="s">
        <v>39</v>
      </c>
      <c r="F10" s="6">
        <v>50</v>
      </c>
      <c r="G10" s="6">
        <v>500</v>
      </c>
      <c r="H10" s="6">
        <v>25000</v>
      </c>
      <c r="I10" s="6" t="s">
        <v>30</v>
      </c>
    </row>
    <row r="11" spans="1:9" x14ac:dyDescent="0.3">
      <c r="A11" s="11">
        <v>43378</v>
      </c>
      <c r="B11" s="8" t="s">
        <v>20</v>
      </c>
      <c r="C11" s="8" t="s">
        <v>35</v>
      </c>
      <c r="D11" s="8" t="s">
        <v>40</v>
      </c>
      <c r="E11" s="8" t="s">
        <v>39</v>
      </c>
      <c r="F11" s="8">
        <v>28</v>
      </c>
      <c r="G11" s="8">
        <v>500</v>
      </c>
      <c r="H11" s="8">
        <v>14000</v>
      </c>
      <c r="I11" s="8" t="s">
        <v>30</v>
      </c>
    </row>
    <row r="12" spans="1:9" x14ac:dyDescent="0.3">
      <c r="A12" s="10">
        <v>43616</v>
      </c>
      <c r="B12" s="6" t="s">
        <v>20</v>
      </c>
      <c r="C12" s="6" t="s">
        <v>21</v>
      </c>
      <c r="D12" s="6" t="s">
        <v>22</v>
      </c>
      <c r="E12" s="6" t="s">
        <v>39</v>
      </c>
      <c r="F12" s="6">
        <v>80</v>
      </c>
      <c r="G12" s="6">
        <v>500</v>
      </c>
      <c r="H12" s="6">
        <v>40000</v>
      </c>
      <c r="I12" s="6" t="s">
        <v>30</v>
      </c>
    </row>
    <row r="13" spans="1:9" x14ac:dyDescent="0.3">
      <c r="A13" s="11">
        <v>43803</v>
      </c>
      <c r="B13" s="8" t="s">
        <v>20</v>
      </c>
      <c r="C13" s="8" t="s">
        <v>35</v>
      </c>
      <c r="D13" s="8" t="s">
        <v>41</v>
      </c>
      <c r="E13" s="8" t="s">
        <v>39</v>
      </c>
      <c r="F13" s="8">
        <v>94</v>
      </c>
      <c r="G13" s="8">
        <v>500</v>
      </c>
      <c r="H13" s="8">
        <v>47000</v>
      </c>
      <c r="I13" s="8" t="s">
        <v>30</v>
      </c>
    </row>
    <row r="14" spans="1:9" x14ac:dyDescent="0.3">
      <c r="A14" s="10">
        <v>43242</v>
      </c>
      <c r="B14" s="6" t="s">
        <v>25</v>
      </c>
      <c r="C14" s="6" t="s">
        <v>31</v>
      </c>
      <c r="D14" s="6" t="s">
        <v>44</v>
      </c>
      <c r="E14" s="6" t="s">
        <v>45</v>
      </c>
      <c r="F14" s="6">
        <v>32</v>
      </c>
      <c r="G14" s="6">
        <v>1198</v>
      </c>
      <c r="H14" s="6">
        <v>38336</v>
      </c>
      <c r="I14" s="7" t="s">
        <v>30</v>
      </c>
    </row>
    <row r="15" spans="1:9" x14ac:dyDescent="0.3">
      <c r="A15" s="11">
        <v>43276</v>
      </c>
      <c r="B15" s="8" t="s">
        <v>20</v>
      </c>
      <c r="C15" s="8" t="s">
        <v>35</v>
      </c>
      <c r="D15" s="8" t="s">
        <v>40</v>
      </c>
      <c r="E15" s="8" t="s">
        <v>45</v>
      </c>
      <c r="F15" s="8">
        <v>90</v>
      </c>
      <c r="G15" s="8">
        <v>1198</v>
      </c>
      <c r="H15" s="8">
        <v>107820</v>
      </c>
      <c r="I15" s="9" t="s">
        <v>30</v>
      </c>
    </row>
    <row r="16" spans="1:9" x14ac:dyDescent="0.3">
      <c r="A16" s="10">
        <v>43327</v>
      </c>
      <c r="B16" s="6" t="s">
        <v>27</v>
      </c>
      <c r="C16" s="6" t="s">
        <v>28</v>
      </c>
      <c r="D16" s="6" t="s">
        <v>34</v>
      </c>
      <c r="E16" s="6" t="s">
        <v>45</v>
      </c>
      <c r="F16" s="6">
        <v>35</v>
      </c>
      <c r="G16" s="6">
        <v>1198</v>
      </c>
      <c r="H16" s="6">
        <v>41930</v>
      </c>
      <c r="I16" s="7" t="s">
        <v>33</v>
      </c>
    </row>
    <row r="17" spans="1:9" x14ac:dyDescent="0.3">
      <c r="A17" s="10">
        <v>43361</v>
      </c>
      <c r="B17" s="6" t="s">
        <v>27</v>
      </c>
      <c r="C17" s="6" t="s">
        <v>28</v>
      </c>
      <c r="D17" s="6" t="s">
        <v>34</v>
      </c>
      <c r="E17" s="6" t="s">
        <v>46</v>
      </c>
      <c r="F17" s="6">
        <v>16</v>
      </c>
      <c r="G17" s="6">
        <v>58.5</v>
      </c>
      <c r="H17" s="6">
        <v>936</v>
      </c>
      <c r="I17" s="7" t="s">
        <v>43</v>
      </c>
    </row>
    <row r="18" spans="1:9" x14ac:dyDescent="0.3">
      <c r="A18" s="10">
        <v>43395</v>
      </c>
      <c r="B18" s="6" t="s">
        <v>27</v>
      </c>
      <c r="C18" s="6" t="s">
        <v>28</v>
      </c>
      <c r="D18" s="6" t="s">
        <v>34</v>
      </c>
      <c r="E18" s="6" t="s">
        <v>23</v>
      </c>
      <c r="F18" s="6">
        <v>64</v>
      </c>
      <c r="G18" s="6">
        <v>225</v>
      </c>
      <c r="H18" s="6">
        <v>14400</v>
      </c>
      <c r="I18" s="7" t="s">
        <v>24</v>
      </c>
    </row>
    <row r="19" spans="1:9" x14ac:dyDescent="0.3">
      <c r="A19" s="11">
        <v>43412</v>
      </c>
      <c r="B19" s="8" t="s">
        <v>27</v>
      </c>
      <c r="C19" s="8" t="s">
        <v>31</v>
      </c>
      <c r="D19" s="8" t="s">
        <v>32</v>
      </c>
      <c r="E19" s="8" t="s">
        <v>23</v>
      </c>
      <c r="F19" s="8">
        <v>15</v>
      </c>
      <c r="G19" s="8">
        <v>225</v>
      </c>
      <c r="H19" s="8">
        <v>3375</v>
      </c>
      <c r="I19" s="9" t="s">
        <v>33</v>
      </c>
    </row>
    <row r="20" spans="1:9" x14ac:dyDescent="0.3">
      <c r="A20" s="10">
        <v>43191</v>
      </c>
      <c r="B20" s="6" t="s">
        <v>27</v>
      </c>
      <c r="C20" s="6" t="s">
        <v>28</v>
      </c>
      <c r="D20" s="6" t="s">
        <v>34</v>
      </c>
      <c r="E20" s="6" t="s">
        <v>39</v>
      </c>
      <c r="F20" s="6">
        <v>60</v>
      </c>
      <c r="G20" s="6">
        <v>500</v>
      </c>
      <c r="H20" s="6">
        <v>30000</v>
      </c>
      <c r="I20" s="6" t="s">
        <v>30</v>
      </c>
    </row>
    <row r="21" spans="1:9" x14ac:dyDescent="0.3">
      <c r="A21" s="11">
        <v>43514</v>
      </c>
      <c r="B21" s="8" t="s">
        <v>27</v>
      </c>
      <c r="C21" s="8" t="s">
        <v>28</v>
      </c>
      <c r="D21" s="8" t="s">
        <v>34</v>
      </c>
      <c r="E21" s="8" t="s">
        <v>39</v>
      </c>
      <c r="F21" s="8">
        <v>4</v>
      </c>
      <c r="G21" s="8">
        <v>500</v>
      </c>
      <c r="H21" s="8">
        <v>2000</v>
      </c>
      <c r="I21" s="8" t="s">
        <v>30</v>
      </c>
    </row>
    <row r="22" spans="1:9" x14ac:dyDescent="0.3">
      <c r="A22" s="10">
        <v>43293</v>
      </c>
      <c r="B22" s="6" t="s">
        <v>27</v>
      </c>
      <c r="C22" s="6" t="s">
        <v>28</v>
      </c>
      <c r="D22" s="6" t="s">
        <v>29</v>
      </c>
      <c r="E22" s="6" t="s">
        <v>39</v>
      </c>
      <c r="F22" s="6">
        <v>29</v>
      </c>
      <c r="G22" s="6">
        <v>500</v>
      </c>
      <c r="H22" s="6">
        <v>14500</v>
      </c>
      <c r="I22" s="6" t="s">
        <v>33</v>
      </c>
    </row>
    <row r="23" spans="1:9" x14ac:dyDescent="0.3">
      <c r="A23" s="11">
        <v>43310</v>
      </c>
      <c r="B23" s="8" t="s">
        <v>27</v>
      </c>
      <c r="C23" s="8" t="s">
        <v>31</v>
      </c>
      <c r="D23" s="8" t="s">
        <v>32</v>
      </c>
      <c r="E23" s="8" t="s">
        <v>39</v>
      </c>
      <c r="F23" s="8">
        <v>81</v>
      </c>
      <c r="G23" s="8">
        <v>500</v>
      </c>
      <c r="H23" s="8">
        <v>40500</v>
      </c>
      <c r="I23" s="8" t="s">
        <v>24</v>
      </c>
    </row>
    <row r="24" spans="1:9" x14ac:dyDescent="0.3">
      <c r="A24" s="10">
        <v>43259</v>
      </c>
      <c r="B24" s="6" t="s">
        <v>27</v>
      </c>
      <c r="C24" s="6" t="s">
        <v>28</v>
      </c>
      <c r="D24" s="6" t="s">
        <v>34</v>
      </c>
      <c r="E24" s="6" t="s">
        <v>39</v>
      </c>
      <c r="F24" s="6">
        <v>60</v>
      </c>
      <c r="G24" s="6">
        <v>500</v>
      </c>
      <c r="H24" s="6">
        <v>30000</v>
      </c>
      <c r="I24" s="6" t="s">
        <v>43</v>
      </c>
    </row>
    <row r="25" spans="1:9" x14ac:dyDescent="0.3">
      <c r="A25" s="10">
        <v>43429</v>
      </c>
      <c r="B25" s="6" t="s">
        <v>20</v>
      </c>
      <c r="C25" s="6" t="s">
        <v>35</v>
      </c>
      <c r="D25" s="6" t="s">
        <v>36</v>
      </c>
      <c r="E25" s="6" t="s">
        <v>46</v>
      </c>
      <c r="F25" s="6">
        <v>96</v>
      </c>
      <c r="G25" s="6">
        <v>58.5</v>
      </c>
      <c r="H25" s="6">
        <v>5616</v>
      </c>
      <c r="I25" s="7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3AF5-4D24-4E87-A163-2F584BD005EC}">
  <dimension ref="A1:H10"/>
  <sheetViews>
    <sheetView zoomScale="190" zoomScaleNormal="190" workbookViewId="0">
      <selection sqref="A1:G5"/>
    </sheetView>
  </sheetViews>
  <sheetFormatPr defaultRowHeight="14.4" x14ac:dyDescent="0.3"/>
  <cols>
    <col min="4" max="4" width="12.5546875" bestFit="1" customWidth="1"/>
    <col min="5" max="5" width="13.77734375" customWidth="1"/>
    <col min="6" max="6" width="17.44140625" customWidth="1"/>
    <col min="7" max="7" width="20.44140625" customWidth="1"/>
  </cols>
  <sheetData>
    <row r="1" spans="1:8" x14ac:dyDescent="0.3">
      <c r="A1" s="13" t="s">
        <v>13</v>
      </c>
      <c r="B1" s="13" t="s">
        <v>15</v>
      </c>
      <c r="C1" s="13" t="s">
        <v>16</v>
      </c>
      <c r="D1" s="5" t="s">
        <v>17</v>
      </c>
      <c r="E1" s="13" t="s">
        <v>18</v>
      </c>
      <c r="F1" s="14" t="s">
        <v>19</v>
      </c>
      <c r="G1" s="4" t="s">
        <v>61</v>
      </c>
      <c r="H1" s="4" t="s">
        <v>50</v>
      </c>
    </row>
    <row r="2" spans="1:8" x14ac:dyDescent="0.3">
      <c r="A2" s="6" t="s">
        <v>28</v>
      </c>
      <c r="B2" s="6" t="s">
        <v>45</v>
      </c>
      <c r="C2" s="6">
        <v>95</v>
      </c>
      <c r="D2" s="6">
        <v>1200</v>
      </c>
      <c r="E2" s="6">
        <v>113810</v>
      </c>
      <c r="F2" s="7" t="s">
        <v>43</v>
      </c>
      <c r="G2" s="15">
        <v>1234567899</v>
      </c>
    </row>
    <row r="3" spans="1:8" x14ac:dyDescent="0.3">
      <c r="A3" s="6" t="s">
        <v>35</v>
      </c>
      <c r="B3" s="6" t="s">
        <v>45</v>
      </c>
      <c r="C3" s="6">
        <v>36</v>
      </c>
      <c r="D3" s="6">
        <v>1198</v>
      </c>
      <c r="E3" s="6">
        <v>43128</v>
      </c>
      <c r="F3" s="7" t="s">
        <v>33</v>
      </c>
      <c r="G3" s="15">
        <v>8851643867</v>
      </c>
    </row>
    <row r="4" spans="1:8" x14ac:dyDescent="0.3">
      <c r="A4" s="6" t="s">
        <v>21</v>
      </c>
      <c r="B4" s="6" t="s">
        <v>23</v>
      </c>
      <c r="C4" s="6">
        <v>27</v>
      </c>
      <c r="D4" s="6">
        <v>225</v>
      </c>
      <c r="E4" s="6">
        <v>6075</v>
      </c>
      <c r="F4" s="7" t="s">
        <v>24</v>
      </c>
      <c r="G4" s="15">
        <v>8542976296</v>
      </c>
    </row>
    <row r="5" spans="1:8" x14ac:dyDescent="0.3">
      <c r="A5" s="6" t="s">
        <v>31</v>
      </c>
      <c r="B5" s="6" t="s">
        <v>37</v>
      </c>
      <c r="C5" s="6">
        <v>2</v>
      </c>
      <c r="D5" s="6">
        <v>125</v>
      </c>
      <c r="E5" s="6">
        <v>250</v>
      </c>
      <c r="F5" s="7" t="s">
        <v>24</v>
      </c>
      <c r="G5" s="15">
        <v>8851643927</v>
      </c>
    </row>
    <row r="7" spans="1:8" x14ac:dyDescent="0.3">
      <c r="E7" t="s">
        <v>18</v>
      </c>
    </row>
    <row r="8" spans="1:8" x14ac:dyDescent="0.3">
      <c r="D8" t="s">
        <v>28</v>
      </c>
      <c r="E8">
        <f>INDEX(A1:G5,MATCH(D8,A1:A5,0),MATCH(E7,A1:G1,0))</f>
        <v>113810</v>
      </c>
    </row>
    <row r="10" spans="1:8" x14ac:dyDescent="0.3">
      <c r="F10" s="6" t="s">
        <v>31</v>
      </c>
    </row>
  </sheetData>
  <dataValidations count="4">
    <dataValidation type="list" allowBlank="1" showInputMessage="1" showErrorMessage="1" sqref="C9" xr:uid="{ACF7C64D-76D3-4FAB-88C7-797B102CC671}">
      <formula1>#REF!</formula1>
    </dataValidation>
    <dataValidation type="textLength" operator="equal" allowBlank="1" showInputMessage="1" showErrorMessage="1" errorTitle="Error Number" error="Sahi se type kar lo 10 digit" sqref="G2:G5" xr:uid="{6131602F-0547-43ED-ACAE-387DE5E50D91}">
      <formula1>10</formula1>
    </dataValidation>
    <dataValidation type="list" allowBlank="1" showInputMessage="1" showErrorMessage="1" sqref="D8" xr:uid="{A52E94D3-F28C-4105-9FDA-93836A96BC83}">
      <formula1>$A$2:$A$5</formula1>
    </dataValidation>
    <dataValidation type="list" allowBlank="1" showInputMessage="1" showErrorMessage="1" sqref="E7 D10" xr:uid="{B054D7F1-135B-46B9-91E1-6EBE6032B149}">
      <formula1>$A$1:$G$1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1F1C-A61A-406B-B7D9-1BA8829F7B65}">
  <dimension ref="A1:I12"/>
  <sheetViews>
    <sheetView zoomScale="175" zoomScaleNormal="175" workbookViewId="0">
      <selection activeCell="G10" sqref="G10"/>
    </sheetView>
  </sheetViews>
  <sheetFormatPr defaultRowHeight="14.4" x14ac:dyDescent="0.3"/>
  <cols>
    <col min="1" max="1" width="9.109375" bestFit="1" customWidth="1"/>
    <col min="2" max="2" width="12.6640625" bestFit="1" customWidth="1"/>
    <col min="3" max="3" width="5.33203125" bestFit="1" customWidth="1"/>
    <col min="4" max="4" width="11" bestFit="1" customWidth="1"/>
    <col min="5" max="5" width="8.77734375" customWidth="1"/>
    <col min="6" max="6" width="13.21875" bestFit="1" customWidth="1"/>
    <col min="9" max="9" width="15.5546875" bestFit="1" customWidth="1"/>
  </cols>
  <sheetData>
    <row r="1" spans="1:9" x14ac:dyDescent="0.3">
      <c r="A1" s="13" t="s">
        <v>14</v>
      </c>
      <c r="B1" s="13" t="s">
        <v>15</v>
      </c>
      <c r="C1" s="13" t="s">
        <v>16</v>
      </c>
      <c r="D1" s="5" t="s">
        <v>17</v>
      </c>
      <c r="E1" s="13" t="s">
        <v>18</v>
      </c>
      <c r="F1" s="14" t="s">
        <v>19</v>
      </c>
    </row>
    <row r="2" spans="1:9" x14ac:dyDescent="0.3">
      <c r="A2" s="6" t="s">
        <v>34</v>
      </c>
      <c r="B2" s="6" t="s">
        <v>45</v>
      </c>
      <c r="C2" s="6">
        <v>95</v>
      </c>
      <c r="D2" s="6">
        <v>1198</v>
      </c>
      <c r="E2" s="6">
        <v>113810</v>
      </c>
      <c r="F2" s="7" t="s">
        <v>43</v>
      </c>
    </row>
    <row r="3" spans="1:9" x14ac:dyDescent="0.3">
      <c r="A3" s="6" t="s">
        <v>41</v>
      </c>
      <c r="B3" s="6" t="s">
        <v>45</v>
      </c>
      <c r="C3" s="6">
        <v>36</v>
      </c>
      <c r="D3" s="6">
        <v>1198</v>
      </c>
      <c r="E3" s="6">
        <v>43128</v>
      </c>
      <c r="F3" s="7" t="s">
        <v>33</v>
      </c>
    </row>
    <row r="4" spans="1:9" x14ac:dyDescent="0.3">
      <c r="A4" s="6" t="s">
        <v>22</v>
      </c>
      <c r="B4" s="6" t="s">
        <v>23</v>
      </c>
      <c r="C4" s="6">
        <v>27</v>
      </c>
      <c r="D4" s="6">
        <v>225</v>
      </c>
      <c r="E4" s="6">
        <v>6075</v>
      </c>
      <c r="F4" s="7" t="s">
        <v>24</v>
      </c>
    </row>
    <row r="5" spans="1:9" x14ac:dyDescent="0.3">
      <c r="A5" s="8" t="s">
        <v>26</v>
      </c>
      <c r="B5" s="8" t="s">
        <v>45</v>
      </c>
      <c r="C5" s="8">
        <v>56</v>
      </c>
      <c r="D5" s="8">
        <v>1198</v>
      </c>
      <c r="E5" s="8">
        <v>67088</v>
      </c>
      <c r="F5" s="9" t="s">
        <v>43</v>
      </c>
      <c r="G5" t="s">
        <v>26</v>
      </c>
      <c r="H5">
        <f>MATCH(G5,A2:A6,0)</f>
        <v>4</v>
      </c>
      <c r="I5" t="s">
        <v>48</v>
      </c>
    </row>
    <row r="6" spans="1:9" x14ac:dyDescent="0.3">
      <c r="A6" s="6" t="s">
        <v>42</v>
      </c>
      <c r="B6" s="6" t="s">
        <v>45</v>
      </c>
      <c r="C6" s="6">
        <v>75</v>
      </c>
      <c r="D6" s="6">
        <v>1198</v>
      </c>
      <c r="E6" s="6">
        <v>89850</v>
      </c>
      <c r="F6" s="7" t="s">
        <v>33</v>
      </c>
    </row>
    <row r="7" spans="1:9" x14ac:dyDescent="0.3">
      <c r="A7" s="6"/>
      <c r="B7" s="6"/>
      <c r="C7" s="6"/>
      <c r="D7" s="6"/>
      <c r="E7" s="6"/>
      <c r="F7" s="7"/>
      <c r="G7" t="s">
        <v>18</v>
      </c>
      <c r="H7">
        <f>MATCH(G7,A1:F1,0)</f>
        <v>5</v>
      </c>
      <c r="I7" t="s">
        <v>49</v>
      </c>
    </row>
    <row r="9" spans="1:9" x14ac:dyDescent="0.3">
      <c r="H9">
        <f>INDEX(A1:F6,3,3)</f>
        <v>36</v>
      </c>
    </row>
    <row r="10" spans="1:9" x14ac:dyDescent="0.3">
      <c r="E10" t="s">
        <v>26</v>
      </c>
      <c r="F10">
        <f>VLOOKUP(E10,A1:F6,5,FALSE)</f>
        <v>67088</v>
      </c>
    </row>
    <row r="11" spans="1:9" x14ac:dyDescent="0.3">
      <c r="H11" t="s">
        <v>17</v>
      </c>
    </row>
    <row r="12" spans="1:9" x14ac:dyDescent="0.3">
      <c r="G12" t="s">
        <v>22</v>
      </c>
      <c r="H12">
        <f>INDEX(A1:F6,MATCH(G12,A1:A6,0),MATCH(H11,A1:F1,0))</f>
        <v>225</v>
      </c>
    </row>
  </sheetData>
  <dataValidations count="2">
    <dataValidation type="list" allowBlank="1" showInputMessage="1" showErrorMessage="1" sqref="E10 G12" xr:uid="{C2FF0DE4-FFEB-40A3-90B2-34CF47904836}">
      <formula1>$A$2:$A$6</formula1>
    </dataValidation>
    <dataValidation type="list" allowBlank="1" showInputMessage="1" showErrorMessage="1" sqref="H11" xr:uid="{F106E82A-F4A0-4CFE-811A-83A437C4C094}">
      <formula1>$B$1:$F$1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F50B-95A7-4FF3-BEC7-4B424575FC3A}">
  <dimension ref="A1:F11"/>
  <sheetViews>
    <sheetView zoomScale="175" zoomScaleNormal="175" workbookViewId="0">
      <selection activeCell="C8" sqref="C8:E14"/>
    </sheetView>
  </sheetViews>
  <sheetFormatPr defaultRowHeight="14.4" x14ac:dyDescent="0.3"/>
  <cols>
    <col min="1" max="1" width="13.21875" bestFit="1" customWidth="1"/>
    <col min="2" max="2" width="9.109375" bestFit="1" customWidth="1"/>
    <col min="3" max="3" width="10.88671875" bestFit="1" customWidth="1"/>
    <col min="4" max="4" width="12.44140625" bestFit="1" customWidth="1"/>
    <col min="5" max="5" width="9.109375" bestFit="1" customWidth="1"/>
    <col min="6" max="6" width="10.88671875" bestFit="1" customWidth="1"/>
  </cols>
  <sheetData>
    <row r="1" spans="1:6" x14ac:dyDescent="0.3">
      <c r="A1" s="21" t="s">
        <v>14</v>
      </c>
      <c r="B1" s="6" t="s">
        <v>34</v>
      </c>
      <c r="C1" s="6" t="s">
        <v>41</v>
      </c>
      <c r="D1" s="6" t="s">
        <v>22</v>
      </c>
      <c r="E1" s="8" t="s">
        <v>26</v>
      </c>
      <c r="F1" s="6" t="s">
        <v>42</v>
      </c>
    </row>
    <row r="2" spans="1:6" x14ac:dyDescent="0.3">
      <c r="A2" s="21" t="s">
        <v>15</v>
      </c>
      <c r="B2" s="6" t="s">
        <v>45</v>
      </c>
      <c r="C2" s="6" t="s">
        <v>45</v>
      </c>
      <c r="D2" s="6" t="s">
        <v>23</v>
      </c>
      <c r="E2" s="8" t="s">
        <v>45</v>
      </c>
      <c r="F2" s="6" t="s">
        <v>45</v>
      </c>
    </row>
    <row r="3" spans="1:6" x14ac:dyDescent="0.3">
      <c r="A3" s="21" t="s">
        <v>16</v>
      </c>
      <c r="B3" s="6">
        <v>95</v>
      </c>
      <c r="C3" s="6">
        <v>36</v>
      </c>
      <c r="D3" s="6">
        <v>27</v>
      </c>
      <c r="E3" s="8">
        <v>56</v>
      </c>
      <c r="F3" s="6">
        <v>75</v>
      </c>
    </row>
    <row r="4" spans="1:6" x14ac:dyDescent="0.3">
      <c r="A4" s="20" t="s">
        <v>17</v>
      </c>
      <c r="B4" s="6">
        <v>1198</v>
      </c>
      <c r="C4" s="6">
        <v>1198</v>
      </c>
      <c r="D4" s="6">
        <v>225</v>
      </c>
      <c r="E4" s="8">
        <v>1198</v>
      </c>
      <c r="F4" s="6">
        <v>1198</v>
      </c>
    </row>
    <row r="5" spans="1:6" x14ac:dyDescent="0.3">
      <c r="A5" s="21" t="s">
        <v>18</v>
      </c>
      <c r="B5" s="6">
        <v>113810</v>
      </c>
      <c r="C5" s="6">
        <v>43128</v>
      </c>
      <c r="D5" s="6">
        <v>6075</v>
      </c>
      <c r="E5" s="8">
        <v>67088</v>
      </c>
      <c r="F5" s="6">
        <v>89850</v>
      </c>
    </row>
    <row r="6" spans="1:6" x14ac:dyDescent="0.3">
      <c r="A6" s="22" t="s">
        <v>19</v>
      </c>
      <c r="B6" s="7" t="s">
        <v>43</v>
      </c>
      <c r="C6" s="7" t="s">
        <v>33</v>
      </c>
      <c r="D6" s="7" t="s">
        <v>24</v>
      </c>
      <c r="E6" s="9" t="s">
        <v>43</v>
      </c>
      <c r="F6" s="7" t="s">
        <v>33</v>
      </c>
    </row>
    <row r="9" spans="1:6" x14ac:dyDescent="0.3">
      <c r="C9" t="s">
        <v>22</v>
      </c>
      <c r="D9" t="str">
        <f>HLOOKUP(C9,A1:F6,6,FALSE)</f>
        <v>NET BANKING</v>
      </c>
    </row>
    <row r="11" spans="1:6" x14ac:dyDescent="0.3">
      <c r="D11">
        <f>HLOOKUP(D1,A1:F6,4,FALSE)</f>
        <v>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235A-789F-423D-AFBB-32E6BF1C5B1A}">
  <dimension ref="A1:I33"/>
  <sheetViews>
    <sheetView zoomScale="190" zoomScaleNormal="190" workbookViewId="0">
      <selection activeCell="G26" sqref="G26"/>
    </sheetView>
  </sheetViews>
  <sheetFormatPr defaultRowHeight="14.4" x14ac:dyDescent="0.3"/>
  <cols>
    <col min="1" max="1" width="8.44140625" bestFit="1" customWidth="1"/>
    <col min="2" max="2" width="9.5546875" bestFit="1" customWidth="1"/>
    <col min="3" max="3" width="5.21875" bestFit="1" customWidth="1"/>
    <col min="4" max="4" width="9.44140625" bestFit="1" customWidth="1"/>
    <col min="5" max="5" width="12.6640625" customWidth="1"/>
    <col min="6" max="6" width="8.44140625" customWidth="1"/>
    <col min="7" max="7" width="11" bestFit="1" customWidth="1"/>
  </cols>
  <sheetData>
    <row r="1" spans="1:9" x14ac:dyDescent="0.3">
      <c r="A1" s="16" t="s">
        <v>13</v>
      </c>
      <c r="B1" s="16" t="s">
        <v>15</v>
      </c>
      <c r="C1" s="16" t="s">
        <v>16</v>
      </c>
      <c r="D1" s="16" t="s">
        <v>17</v>
      </c>
      <c r="E1" s="16" t="s">
        <v>18</v>
      </c>
      <c r="F1" s="16" t="s">
        <v>19</v>
      </c>
      <c r="G1" s="16" t="s">
        <v>61</v>
      </c>
    </row>
    <row r="2" spans="1:9" x14ac:dyDescent="0.3">
      <c r="A2" t="s">
        <v>28</v>
      </c>
      <c r="B2" t="s">
        <v>45</v>
      </c>
      <c r="C2">
        <v>95</v>
      </c>
      <c r="D2">
        <v>234</v>
      </c>
      <c r="E2">
        <v>113810</v>
      </c>
      <c r="F2" t="s">
        <v>43</v>
      </c>
      <c r="G2">
        <v>1234567899</v>
      </c>
    </row>
    <row r="3" spans="1:9" x14ac:dyDescent="0.3">
      <c r="A3" t="s">
        <v>35</v>
      </c>
      <c r="B3" t="s">
        <v>45</v>
      </c>
      <c r="C3">
        <v>36</v>
      </c>
      <c r="D3">
        <v>45</v>
      </c>
      <c r="E3">
        <v>43128</v>
      </c>
      <c r="F3" t="s">
        <v>33</v>
      </c>
      <c r="G3">
        <v>8851643867</v>
      </c>
    </row>
    <row r="4" spans="1:9" x14ac:dyDescent="0.3">
      <c r="A4" t="s">
        <v>21</v>
      </c>
      <c r="B4" t="s">
        <v>23</v>
      </c>
      <c r="C4">
        <v>27</v>
      </c>
      <c r="D4">
        <v>78</v>
      </c>
      <c r="E4">
        <v>6075</v>
      </c>
      <c r="F4" t="s">
        <v>24</v>
      </c>
      <c r="G4">
        <v>8542976296</v>
      </c>
    </row>
    <row r="5" spans="1:9" x14ac:dyDescent="0.3">
      <c r="A5" t="s">
        <v>31</v>
      </c>
      <c r="B5" t="s">
        <v>37</v>
      </c>
      <c r="C5">
        <v>2</v>
      </c>
      <c r="E5">
        <v>250</v>
      </c>
      <c r="F5" t="s">
        <v>24</v>
      </c>
      <c r="G5">
        <v>8851643927</v>
      </c>
    </row>
    <row r="7" spans="1:9" x14ac:dyDescent="0.3">
      <c r="C7">
        <f>SUM(Units)</f>
        <v>160</v>
      </c>
      <c r="E7">
        <f>SUM(Unit_Price_New)</f>
        <v>357</v>
      </c>
    </row>
    <row r="8" spans="1:9" x14ac:dyDescent="0.3">
      <c r="D8">
        <f>AVERAGE(Unit_price)</f>
        <v>119</v>
      </c>
      <c r="E8">
        <f>SUM(D2:D5)</f>
        <v>357</v>
      </c>
    </row>
    <row r="10" spans="1:9" x14ac:dyDescent="0.3">
      <c r="I10">
        <f>SUM(C5+F12)</f>
        <v>6</v>
      </c>
    </row>
    <row r="12" spans="1:9" x14ac:dyDescent="0.3">
      <c r="F12">
        <v>4</v>
      </c>
    </row>
    <row r="13" spans="1:9" x14ac:dyDescent="0.3">
      <c r="F13">
        <v>6</v>
      </c>
    </row>
    <row r="15" spans="1:9" x14ac:dyDescent="0.3">
      <c r="F15">
        <v>8</v>
      </c>
      <c r="I15">
        <f>SUM(F12+F13+F15+F16)</f>
        <v>27</v>
      </c>
    </row>
    <row r="16" spans="1:9" x14ac:dyDescent="0.3">
      <c r="F16">
        <v>9</v>
      </c>
    </row>
    <row r="33" spans="4:4" x14ac:dyDescent="0.3">
      <c r="D33">
        <f>SUM(D3:D5)</f>
        <v>123</v>
      </c>
    </row>
  </sheetData>
  <dataValidations count="1">
    <dataValidation type="textLength" operator="equal" allowBlank="1" showInputMessage="1" showErrorMessage="1" errorTitle="Error Number" error="Sahi se type kar lo 10 digit" sqref="G2:G5" xr:uid="{2F2BDE7C-60F3-4EDE-B6AC-4C7A4E6DB681}">
      <formula1>10</formula1>
    </dataValidation>
  </dataValidations>
  <pageMargins left="0.7" right="0.7" top="0.75" bottom="0.75" header="0.3" footer="0.3"/>
  <cellWatches>
    <cellWatch r="D33"/>
  </cellWatch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A11E-4143-416B-923B-9A6B61AEDC7C}">
  <dimension ref="A1:E6"/>
  <sheetViews>
    <sheetView zoomScale="190" zoomScaleNormal="190" workbookViewId="0">
      <selection activeCell="G3" sqref="G3"/>
    </sheetView>
  </sheetViews>
  <sheetFormatPr defaultRowHeight="14.4" x14ac:dyDescent="0.3"/>
  <cols>
    <col min="1" max="1" width="8.77734375" bestFit="1" customWidth="1"/>
    <col min="2" max="2" width="5.21875" bestFit="1" customWidth="1"/>
    <col min="3" max="3" width="6.21875" bestFit="1" customWidth="1"/>
    <col min="4" max="4" width="6.77734375" bestFit="1" customWidth="1"/>
  </cols>
  <sheetData>
    <row r="1" spans="1:5" x14ac:dyDescent="0.3">
      <c r="A1" t="s">
        <v>50</v>
      </c>
      <c r="B1" t="s">
        <v>51</v>
      </c>
      <c r="C1" t="s">
        <v>52</v>
      </c>
      <c r="D1" t="s">
        <v>53</v>
      </c>
      <c r="E1" t="s">
        <v>59</v>
      </c>
    </row>
    <row r="2" spans="1:5" x14ac:dyDescent="0.3">
      <c r="A2" t="s">
        <v>54</v>
      </c>
      <c r="B2">
        <v>47</v>
      </c>
      <c r="C2">
        <v>27</v>
      </c>
      <c r="D2">
        <v>68</v>
      </c>
      <c r="E2">
        <f>SUM(B2:D2)</f>
        <v>142</v>
      </c>
    </row>
    <row r="3" spans="1:5" x14ac:dyDescent="0.3">
      <c r="A3" t="s">
        <v>55</v>
      </c>
      <c r="B3">
        <v>69</v>
      </c>
      <c r="C3">
        <v>59</v>
      </c>
      <c r="D3">
        <v>42</v>
      </c>
      <c r="E3">
        <f t="shared" ref="E3:E6" si="0">SUM(B3:D3)</f>
        <v>170</v>
      </c>
    </row>
    <row r="4" spans="1:5" x14ac:dyDescent="0.3">
      <c r="A4" t="s">
        <v>56</v>
      </c>
      <c r="B4">
        <v>76</v>
      </c>
      <c r="C4">
        <v>67</v>
      </c>
      <c r="D4">
        <v>80</v>
      </c>
      <c r="E4">
        <f t="shared" si="0"/>
        <v>223</v>
      </c>
    </row>
    <row r="5" spans="1:5" x14ac:dyDescent="0.3">
      <c r="A5" t="s">
        <v>57</v>
      </c>
      <c r="B5">
        <v>55</v>
      </c>
      <c r="C5">
        <v>35</v>
      </c>
      <c r="D5">
        <v>46</v>
      </c>
      <c r="E5">
        <f>SUM(B5:D5)</f>
        <v>136</v>
      </c>
    </row>
    <row r="6" spans="1:5" x14ac:dyDescent="0.3">
      <c r="A6" t="s">
        <v>58</v>
      </c>
      <c r="B6">
        <v>23</v>
      </c>
      <c r="C6">
        <v>23</v>
      </c>
      <c r="D6">
        <v>44</v>
      </c>
      <c r="E6">
        <f t="shared" si="0"/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0CA1-3E09-4412-99E5-D30758BA2EDD}">
  <dimension ref="B3:H67"/>
  <sheetViews>
    <sheetView zoomScale="145" zoomScaleNormal="145" workbookViewId="0">
      <selection activeCell="G4" sqref="G4"/>
    </sheetView>
  </sheetViews>
  <sheetFormatPr defaultRowHeight="14.4" x14ac:dyDescent="0.3"/>
  <cols>
    <col min="2" max="2" width="12.88671875" bestFit="1" customWidth="1"/>
    <col min="3" max="3" width="14.77734375" customWidth="1"/>
    <col min="6" max="6" width="12.21875" bestFit="1" customWidth="1"/>
    <col min="7" max="7" width="21.109375" customWidth="1"/>
    <col min="8" max="8" width="16.44140625" customWidth="1"/>
  </cols>
  <sheetData>
    <row r="3" spans="2:8" x14ac:dyDescent="0.3">
      <c r="B3" t="s">
        <v>47</v>
      </c>
      <c r="C3">
        <v>500000</v>
      </c>
    </row>
    <row r="4" spans="2:8" x14ac:dyDescent="0.3">
      <c r="B4" t="s">
        <v>62</v>
      </c>
      <c r="C4" s="17">
        <v>0.12</v>
      </c>
    </row>
    <row r="5" spans="2:8" x14ac:dyDescent="0.3">
      <c r="B5" t="s">
        <v>3</v>
      </c>
      <c r="C5">
        <v>60</v>
      </c>
    </row>
    <row r="6" spans="2:8" x14ac:dyDescent="0.3">
      <c r="E6" t="s">
        <v>3</v>
      </c>
      <c r="F6" t="s">
        <v>66</v>
      </c>
      <c r="G6" t="s">
        <v>67</v>
      </c>
      <c r="H6" t="s">
        <v>68</v>
      </c>
    </row>
    <row r="7" spans="2:8" x14ac:dyDescent="0.3">
      <c r="B7" t="s">
        <v>64</v>
      </c>
      <c r="C7" s="19">
        <f>PMT(C4/12,C5,-C3)</f>
        <v>11122.223842450885</v>
      </c>
      <c r="E7">
        <v>1</v>
      </c>
      <c r="F7" s="18">
        <f>IPMT($C$4/12,E7,$C$5,-$C$3)</f>
        <v>5000</v>
      </c>
      <c r="G7" s="18">
        <f>PPMT($C$4/12,E7,$C$5,-$C$3)</f>
        <v>6122.2238424508869</v>
      </c>
      <c r="H7" s="18">
        <f>F7+G7</f>
        <v>11122.223842450887</v>
      </c>
    </row>
    <row r="8" spans="2:8" x14ac:dyDescent="0.3">
      <c r="B8" t="s">
        <v>65</v>
      </c>
      <c r="C8" s="19">
        <f>C7*C5</f>
        <v>667333.43054705311</v>
      </c>
      <c r="E8">
        <v>2</v>
      </c>
      <c r="F8" s="18">
        <f t="shared" ref="F8:F66" si="0">IPMT($C$4/12,E8,$C$5,-$C$3)</f>
        <v>4938.7777615754912</v>
      </c>
      <c r="G8" s="18">
        <f t="shared" ref="G8:G66" si="1">PPMT($C$4/12,E8,$C$5,-$C$3)</f>
        <v>6183.4460808753956</v>
      </c>
      <c r="H8" s="18">
        <f t="shared" ref="H8:H66" si="2">F8+G8</f>
        <v>11122.223842450887</v>
      </c>
    </row>
    <row r="9" spans="2:8" x14ac:dyDescent="0.3">
      <c r="B9" t="s">
        <v>63</v>
      </c>
      <c r="C9" s="19">
        <f>C8-C3</f>
        <v>167333.43054705311</v>
      </c>
      <c r="E9">
        <v>3</v>
      </c>
      <c r="F9" s="18">
        <f t="shared" si="0"/>
        <v>4876.9433007667358</v>
      </c>
      <c r="G9" s="18">
        <f t="shared" si="1"/>
        <v>6245.2805416841493</v>
      </c>
      <c r="H9" s="18">
        <f t="shared" si="2"/>
        <v>11122.223842450885</v>
      </c>
    </row>
    <row r="10" spans="2:8" x14ac:dyDescent="0.3">
      <c r="E10">
        <v>4</v>
      </c>
      <c r="F10" s="18">
        <f t="shared" si="0"/>
        <v>4814.4904953498954</v>
      </c>
      <c r="G10" s="18">
        <f t="shared" si="1"/>
        <v>6307.7333471009915</v>
      </c>
      <c r="H10" s="18">
        <f t="shared" si="2"/>
        <v>11122.223842450887</v>
      </c>
    </row>
    <row r="11" spans="2:8" x14ac:dyDescent="0.3">
      <c r="E11">
        <v>5</v>
      </c>
      <c r="F11" s="18">
        <f t="shared" si="0"/>
        <v>4751.4131618788842</v>
      </c>
      <c r="G11" s="18">
        <f t="shared" si="1"/>
        <v>6370.8106805720008</v>
      </c>
      <c r="H11" s="18">
        <f t="shared" si="2"/>
        <v>11122.223842450885</v>
      </c>
    </row>
    <row r="12" spans="2:8" x14ac:dyDescent="0.3">
      <c r="E12">
        <v>6</v>
      </c>
      <c r="F12" s="18">
        <f t="shared" si="0"/>
        <v>4687.7050550731647</v>
      </c>
      <c r="G12" s="18">
        <f t="shared" si="1"/>
        <v>6434.5187873777204</v>
      </c>
      <c r="H12" s="18">
        <f t="shared" si="2"/>
        <v>11122.223842450885</v>
      </c>
    </row>
    <row r="13" spans="2:8" x14ac:dyDescent="0.3">
      <c r="E13">
        <v>7</v>
      </c>
      <c r="F13" s="18">
        <f t="shared" si="0"/>
        <v>4623.3598671993886</v>
      </c>
      <c r="G13" s="18">
        <f t="shared" si="1"/>
        <v>6498.8639752514991</v>
      </c>
      <c r="H13" s="18">
        <f t="shared" si="2"/>
        <v>11122.223842450887</v>
      </c>
    </row>
    <row r="14" spans="2:8" x14ac:dyDescent="0.3">
      <c r="E14">
        <v>8</v>
      </c>
      <c r="F14" s="18">
        <f t="shared" si="0"/>
        <v>4558.3712274468726</v>
      </c>
      <c r="G14" s="18">
        <f t="shared" si="1"/>
        <v>6563.8526150040134</v>
      </c>
      <c r="H14" s="18">
        <f t="shared" si="2"/>
        <v>11122.223842450887</v>
      </c>
    </row>
    <row r="15" spans="2:8" x14ac:dyDescent="0.3">
      <c r="E15">
        <v>9</v>
      </c>
      <c r="F15" s="18">
        <f t="shared" si="0"/>
        <v>4492.7327012968335</v>
      </c>
      <c r="G15" s="18">
        <f t="shared" si="1"/>
        <v>6629.4911411540525</v>
      </c>
      <c r="H15" s="18">
        <f t="shared" si="2"/>
        <v>11122.223842450887</v>
      </c>
    </row>
    <row r="16" spans="2:8" x14ac:dyDescent="0.3">
      <c r="E16">
        <v>10</v>
      </c>
      <c r="F16" s="18">
        <f t="shared" si="0"/>
        <v>4426.4377898852927</v>
      </c>
      <c r="G16" s="18">
        <f t="shared" si="1"/>
        <v>6695.7860525655933</v>
      </c>
      <c r="H16" s="18">
        <f t="shared" si="2"/>
        <v>11122.223842450887</v>
      </c>
    </row>
    <row r="17" spans="5:8" x14ac:dyDescent="0.3">
      <c r="E17">
        <v>11</v>
      </c>
      <c r="F17" s="18">
        <f t="shared" si="0"/>
        <v>4359.479929359637</v>
      </c>
      <c r="G17" s="18">
        <f t="shared" si="1"/>
        <v>6762.7439130912489</v>
      </c>
      <c r="H17" s="18">
        <f t="shared" si="2"/>
        <v>11122.223842450887</v>
      </c>
    </row>
    <row r="18" spans="5:8" x14ac:dyDescent="0.3">
      <c r="E18">
        <v>12</v>
      </c>
      <c r="F18" s="18">
        <f t="shared" si="0"/>
        <v>4291.8524902287245</v>
      </c>
      <c r="G18" s="18">
        <f t="shared" si="1"/>
        <v>6830.3713522221615</v>
      </c>
      <c r="H18" s="18">
        <f t="shared" si="2"/>
        <v>11122.223842450887</v>
      </c>
    </row>
    <row r="19" spans="5:8" x14ac:dyDescent="0.3">
      <c r="E19">
        <v>13</v>
      </c>
      <c r="F19" s="18">
        <f t="shared" si="0"/>
        <v>4223.5487767065024</v>
      </c>
      <c r="G19" s="18">
        <f t="shared" si="1"/>
        <v>6898.6750657443845</v>
      </c>
      <c r="H19" s="18">
        <f t="shared" si="2"/>
        <v>11122.223842450887</v>
      </c>
    </row>
    <row r="20" spans="5:8" x14ac:dyDescent="0.3">
      <c r="E20">
        <v>14</v>
      </c>
      <c r="F20" s="18">
        <f t="shared" si="0"/>
        <v>4154.5620260490587</v>
      </c>
      <c r="G20" s="18">
        <f t="shared" si="1"/>
        <v>6967.6618164018273</v>
      </c>
      <c r="H20" s="18">
        <f t="shared" si="2"/>
        <v>11122.223842450887</v>
      </c>
    </row>
    <row r="21" spans="5:8" x14ac:dyDescent="0.3">
      <c r="E21">
        <v>15</v>
      </c>
      <c r="F21" s="18">
        <f t="shared" si="0"/>
        <v>4084.8854078850391</v>
      </c>
      <c r="G21" s="18">
        <f t="shared" si="1"/>
        <v>7037.3384345658451</v>
      </c>
      <c r="H21" s="18">
        <f t="shared" si="2"/>
        <v>11122.223842450883</v>
      </c>
    </row>
    <row r="22" spans="5:8" x14ac:dyDescent="0.3">
      <c r="E22">
        <v>16</v>
      </c>
      <c r="F22" s="18">
        <f t="shared" si="0"/>
        <v>4014.5120235393815</v>
      </c>
      <c r="G22" s="18">
        <f t="shared" si="1"/>
        <v>7107.7118189115045</v>
      </c>
      <c r="H22" s="18">
        <f t="shared" si="2"/>
        <v>11122.223842450887</v>
      </c>
    </row>
    <row r="23" spans="5:8" x14ac:dyDescent="0.3">
      <c r="E23">
        <v>17</v>
      </c>
      <c r="F23" s="18">
        <f t="shared" si="0"/>
        <v>3943.4349053502665</v>
      </c>
      <c r="G23" s="18">
        <f t="shared" si="1"/>
        <v>7178.7889371006195</v>
      </c>
      <c r="H23" s="18">
        <f t="shared" si="2"/>
        <v>11122.223842450887</v>
      </c>
    </row>
    <row r="24" spans="5:8" x14ac:dyDescent="0.3">
      <c r="E24">
        <v>18</v>
      </c>
      <c r="F24" s="18">
        <f t="shared" si="0"/>
        <v>3871.6470159792598</v>
      </c>
      <c r="G24" s="18">
        <f t="shared" si="1"/>
        <v>7250.5768264716244</v>
      </c>
      <c r="H24" s="18">
        <f t="shared" si="2"/>
        <v>11122.223842450883</v>
      </c>
    </row>
    <row r="25" spans="5:8" x14ac:dyDescent="0.3">
      <c r="E25">
        <v>19</v>
      </c>
      <c r="F25" s="18">
        <f t="shared" si="0"/>
        <v>3799.1412477145445</v>
      </c>
      <c r="G25" s="18">
        <f t="shared" si="1"/>
        <v>7323.0825947363419</v>
      </c>
      <c r="H25" s="18">
        <f t="shared" si="2"/>
        <v>11122.223842450887</v>
      </c>
    </row>
    <row r="26" spans="5:8" x14ac:dyDescent="0.3">
      <c r="E26">
        <v>20</v>
      </c>
      <c r="F26" s="18">
        <f t="shared" si="0"/>
        <v>3725.9104217671807</v>
      </c>
      <c r="G26" s="18">
        <f t="shared" si="1"/>
        <v>7396.3134206837058</v>
      </c>
      <c r="H26" s="18">
        <f t="shared" si="2"/>
        <v>11122.223842450887</v>
      </c>
    </row>
    <row r="27" spans="5:8" x14ac:dyDescent="0.3">
      <c r="E27">
        <v>21</v>
      </c>
      <c r="F27" s="18">
        <f t="shared" si="0"/>
        <v>3651.9472875603433</v>
      </c>
      <c r="G27" s="18">
        <f t="shared" si="1"/>
        <v>7470.2765548905427</v>
      </c>
      <c r="H27" s="18">
        <f t="shared" si="2"/>
        <v>11122.223842450887</v>
      </c>
    </row>
    <row r="28" spans="5:8" x14ac:dyDescent="0.3">
      <c r="E28">
        <v>22</v>
      </c>
      <c r="F28" s="18">
        <f t="shared" si="0"/>
        <v>3577.2445220114387</v>
      </c>
      <c r="G28" s="18">
        <f t="shared" si="1"/>
        <v>7544.9793204394482</v>
      </c>
      <c r="H28" s="18">
        <f t="shared" si="2"/>
        <v>11122.223842450887</v>
      </c>
    </row>
    <row r="29" spans="5:8" x14ac:dyDescent="0.3">
      <c r="E29">
        <v>23</v>
      </c>
      <c r="F29" s="18">
        <f t="shared" si="0"/>
        <v>3501.7947288070432</v>
      </c>
      <c r="G29" s="18">
        <f t="shared" si="1"/>
        <v>7620.4291136438424</v>
      </c>
      <c r="H29" s="18">
        <f t="shared" si="2"/>
        <v>11122.223842450885</v>
      </c>
    </row>
    <row r="30" spans="5:8" x14ac:dyDescent="0.3">
      <c r="E30">
        <v>24</v>
      </c>
      <c r="F30" s="18">
        <f t="shared" si="0"/>
        <v>3425.5904376706053</v>
      </c>
      <c r="G30" s="18">
        <f t="shared" si="1"/>
        <v>7696.6334047802811</v>
      </c>
      <c r="H30" s="18">
        <f t="shared" si="2"/>
        <v>11122.223842450887</v>
      </c>
    </row>
    <row r="31" spans="5:8" x14ac:dyDescent="0.3">
      <c r="E31">
        <v>25</v>
      </c>
      <c r="F31" s="18">
        <f t="shared" si="0"/>
        <v>3348.6241036228021</v>
      </c>
      <c r="G31" s="18">
        <f t="shared" si="1"/>
        <v>7773.5997388280839</v>
      </c>
      <c r="H31" s="18">
        <f t="shared" si="2"/>
        <v>11122.223842450887</v>
      </c>
    </row>
    <row r="32" spans="5:8" x14ac:dyDescent="0.3">
      <c r="E32">
        <v>26</v>
      </c>
      <c r="F32" s="18">
        <f t="shared" si="0"/>
        <v>3270.8881062345213</v>
      </c>
      <c r="G32" s="18">
        <f t="shared" si="1"/>
        <v>7851.3357362163642</v>
      </c>
      <c r="H32" s="18">
        <f t="shared" si="2"/>
        <v>11122.223842450885</v>
      </c>
    </row>
    <row r="33" spans="5:8" x14ac:dyDescent="0.3">
      <c r="E33">
        <v>27</v>
      </c>
      <c r="F33" s="18">
        <f t="shared" si="0"/>
        <v>3192.3747488723579</v>
      </c>
      <c r="G33" s="18">
        <f t="shared" si="1"/>
        <v>7929.8490935785276</v>
      </c>
      <c r="H33" s="18">
        <f t="shared" si="2"/>
        <v>11122.223842450885</v>
      </c>
    </row>
    <row r="34" spans="5:8" x14ac:dyDescent="0.3">
      <c r="E34">
        <v>28</v>
      </c>
      <c r="F34" s="18">
        <f t="shared" si="0"/>
        <v>3113.0762579365728</v>
      </c>
      <c r="G34" s="18">
        <f t="shared" si="1"/>
        <v>8009.1475845143132</v>
      </c>
      <c r="H34" s="18">
        <f t="shared" si="2"/>
        <v>11122.223842450887</v>
      </c>
    </row>
    <row r="35" spans="5:8" x14ac:dyDescent="0.3">
      <c r="E35">
        <v>29</v>
      </c>
      <c r="F35" s="18">
        <f t="shared" si="0"/>
        <v>3032.9847820914292</v>
      </c>
      <c r="G35" s="18">
        <f t="shared" si="1"/>
        <v>8089.2390603594567</v>
      </c>
      <c r="H35" s="18">
        <f t="shared" si="2"/>
        <v>11122.223842450887</v>
      </c>
    </row>
    <row r="36" spans="5:8" x14ac:dyDescent="0.3">
      <c r="E36">
        <v>30</v>
      </c>
      <c r="F36" s="18">
        <f t="shared" si="0"/>
        <v>2952.0923914878349</v>
      </c>
      <c r="G36" s="18">
        <f t="shared" si="1"/>
        <v>8170.1314509630511</v>
      </c>
      <c r="H36" s="18">
        <f t="shared" si="2"/>
        <v>11122.223842450887</v>
      </c>
    </row>
    <row r="37" spans="5:8" x14ac:dyDescent="0.3">
      <c r="E37">
        <v>31</v>
      </c>
      <c r="F37" s="18">
        <f t="shared" si="0"/>
        <v>2870.3910769782042</v>
      </c>
      <c r="G37" s="18">
        <f t="shared" si="1"/>
        <v>8251.8327654726818</v>
      </c>
      <c r="H37" s="18">
        <f t="shared" si="2"/>
        <v>11122.223842450887</v>
      </c>
    </row>
    <row r="38" spans="5:8" x14ac:dyDescent="0.3">
      <c r="E38">
        <v>32</v>
      </c>
      <c r="F38" s="18">
        <f t="shared" si="0"/>
        <v>2787.8727493234778</v>
      </c>
      <c r="G38" s="18">
        <f t="shared" si="1"/>
        <v>8334.3510931274086</v>
      </c>
      <c r="H38" s="18">
        <f t="shared" si="2"/>
        <v>11122.223842450887</v>
      </c>
    </row>
    <row r="39" spans="5:8" x14ac:dyDescent="0.3">
      <c r="E39">
        <v>33</v>
      </c>
      <c r="F39" s="18">
        <f t="shared" si="0"/>
        <v>2704.5292383922038</v>
      </c>
      <c r="G39" s="18">
        <f t="shared" si="1"/>
        <v>8417.6946040586809</v>
      </c>
      <c r="H39" s="18">
        <f t="shared" si="2"/>
        <v>11122.223842450885</v>
      </c>
    </row>
    <row r="40" spans="5:8" x14ac:dyDescent="0.3">
      <c r="E40">
        <v>34</v>
      </c>
      <c r="F40" s="18">
        <f t="shared" si="0"/>
        <v>2620.3522923516161</v>
      </c>
      <c r="G40" s="18">
        <f t="shared" si="1"/>
        <v>8501.8715500992694</v>
      </c>
      <c r="H40" s="18">
        <f t="shared" si="2"/>
        <v>11122.223842450885</v>
      </c>
    </row>
    <row r="41" spans="5:8" x14ac:dyDescent="0.3">
      <c r="E41">
        <v>35</v>
      </c>
      <c r="F41" s="18">
        <f t="shared" si="0"/>
        <v>2535.3335768506245</v>
      </c>
      <c r="G41" s="18">
        <f t="shared" si="1"/>
        <v>8586.890265600261</v>
      </c>
      <c r="H41" s="18">
        <f t="shared" si="2"/>
        <v>11122.223842450885</v>
      </c>
    </row>
    <row r="42" spans="5:8" x14ac:dyDescent="0.3">
      <c r="E42">
        <v>36</v>
      </c>
      <c r="F42" s="18">
        <f t="shared" si="0"/>
        <v>2449.4646741946212</v>
      </c>
      <c r="G42" s="18">
        <f t="shared" si="1"/>
        <v>8672.7591682562652</v>
      </c>
      <c r="H42" s="18">
        <f t="shared" si="2"/>
        <v>11122.223842450887</v>
      </c>
    </row>
    <row r="43" spans="5:8" x14ac:dyDescent="0.3">
      <c r="E43">
        <v>37</v>
      </c>
      <c r="F43" s="18">
        <f t="shared" si="0"/>
        <v>2362.7370825120584</v>
      </c>
      <c r="G43" s="18">
        <f t="shared" si="1"/>
        <v>8759.4867599388272</v>
      </c>
      <c r="H43" s="18">
        <f t="shared" si="2"/>
        <v>11122.223842450885</v>
      </c>
    </row>
    <row r="44" spans="5:8" x14ac:dyDescent="0.3">
      <c r="E44">
        <v>38</v>
      </c>
      <c r="F44" s="18">
        <f t="shared" si="0"/>
        <v>2275.1422149126702</v>
      </c>
      <c r="G44" s="18">
        <f t="shared" si="1"/>
        <v>8847.0816275382167</v>
      </c>
      <c r="H44" s="18">
        <f t="shared" si="2"/>
        <v>11122.223842450887</v>
      </c>
    </row>
    <row r="45" spans="5:8" x14ac:dyDescent="0.3">
      <c r="E45">
        <v>39</v>
      </c>
      <c r="F45" s="18">
        <f t="shared" si="0"/>
        <v>2186.6713986372883</v>
      </c>
      <c r="G45" s="18">
        <f t="shared" si="1"/>
        <v>8935.5524438135981</v>
      </c>
      <c r="H45" s="18">
        <f t="shared" si="2"/>
        <v>11122.223842450887</v>
      </c>
    </row>
    <row r="46" spans="5:8" x14ac:dyDescent="0.3">
      <c r="E46">
        <v>40</v>
      </c>
      <c r="F46" s="18">
        <f t="shared" si="0"/>
        <v>2097.3158741991519</v>
      </c>
      <c r="G46" s="18">
        <f t="shared" si="1"/>
        <v>9024.9079682517331</v>
      </c>
      <c r="H46" s="18">
        <f t="shared" si="2"/>
        <v>11122.223842450885</v>
      </c>
    </row>
    <row r="47" spans="5:8" x14ac:dyDescent="0.3">
      <c r="E47">
        <v>41</v>
      </c>
      <c r="F47" s="18">
        <f t="shared" si="0"/>
        <v>2007.0667945166349</v>
      </c>
      <c r="G47" s="18">
        <f t="shared" si="1"/>
        <v>9115.1570479342499</v>
      </c>
      <c r="H47" s="18">
        <f t="shared" si="2"/>
        <v>11122.223842450885</v>
      </c>
    </row>
    <row r="48" spans="5:8" x14ac:dyDescent="0.3">
      <c r="E48">
        <v>42</v>
      </c>
      <c r="F48" s="18">
        <f t="shared" si="0"/>
        <v>1915.9152240372921</v>
      </c>
      <c r="G48" s="18">
        <f t="shared" si="1"/>
        <v>9206.3086184135936</v>
      </c>
      <c r="H48" s="18">
        <f t="shared" si="2"/>
        <v>11122.223842450885</v>
      </c>
    </row>
    <row r="49" spans="5:8" x14ac:dyDescent="0.3">
      <c r="E49">
        <v>43</v>
      </c>
      <c r="F49" s="18">
        <f t="shared" si="0"/>
        <v>1823.8521378531561</v>
      </c>
      <c r="G49" s="18">
        <f t="shared" si="1"/>
        <v>9298.3717045977301</v>
      </c>
      <c r="H49" s="18">
        <f t="shared" si="2"/>
        <v>11122.223842450887</v>
      </c>
    </row>
    <row r="50" spans="5:8" x14ac:dyDescent="0.3">
      <c r="E50">
        <v>44</v>
      </c>
      <c r="F50" s="18">
        <f t="shared" si="0"/>
        <v>1730.8684208071788</v>
      </c>
      <c r="G50" s="18">
        <f t="shared" si="1"/>
        <v>9391.355421643706</v>
      </c>
      <c r="H50" s="18">
        <f t="shared" si="2"/>
        <v>11122.223842450885</v>
      </c>
    </row>
    <row r="51" spans="5:8" x14ac:dyDescent="0.3">
      <c r="E51">
        <v>45</v>
      </c>
      <c r="F51" s="18">
        <f t="shared" si="0"/>
        <v>1636.9548665907419</v>
      </c>
      <c r="G51" s="18">
        <f t="shared" si="1"/>
        <v>9485.2689758601446</v>
      </c>
      <c r="H51" s="18">
        <f t="shared" si="2"/>
        <v>11122.223842450887</v>
      </c>
    </row>
    <row r="52" spans="5:8" x14ac:dyDescent="0.3">
      <c r="E52">
        <v>46</v>
      </c>
      <c r="F52" s="18">
        <f t="shared" si="0"/>
        <v>1542.10217683214</v>
      </c>
      <c r="G52" s="18">
        <f t="shared" si="1"/>
        <v>9580.1216656187462</v>
      </c>
      <c r="H52" s="18">
        <f t="shared" si="2"/>
        <v>11122.223842450887</v>
      </c>
    </row>
    <row r="53" spans="5:8" x14ac:dyDescent="0.3">
      <c r="E53">
        <v>47</v>
      </c>
      <c r="F53" s="18">
        <f t="shared" si="0"/>
        <v>1446.3009601759527</v>
      </c>
      <c r="G53" s="18">
        <f t="shared" si="1"/>
        <v>9675.9228822749337</v>
      </c>
      <c r="H53" s="18">
        <f t="shared" si="2"/>
        <v>11122.223842450887</v>
      </c>
    </row>
    <row r="54" spans="5:8" x14ac:dyDescent="0.3">
      <c r="E54">
        <v>48</v>
      </c>
      <c r="F54" s="18">
        <f t="shared" si="0"/>
        <v>1349.5417313532034</v>
      </c>
      <c r="G54" s="18">
        <f t="shared" si="1"/>
        <v>9772.6821110976834</v>
      </c>
      <c r="H54" s="18">
        <f t="shared" si="2"/>
        <v>11122.223842450887</v>
      </c>
    </row>
    <row r="55" spans="5:8" x14ac:dyDescent="0.3">
      <c r="E55">
        <v>49</v>
      </c>
      <c r="F55" s="18">
        <f t="shared" si="0"/>
        <v>1251.8149102422267</v>
      </c>
      <c r="G55" s="18">
        <f t="shared" si="1"/>
        <v>9870.4089322086584</v>
      </c>
      <c r="H55" s="18">
        <f t="shared" si="2"/>
        <v>11122.223842450885</v>
      </c>
    </row>
    <row r="56" spans="5:8" x14ac:dyDescent="0.3">
      <c r="E56">
        <v>50</v>
      </c>
      <c r="F56" s="18">
        <f t="shared" si="0"/>
        <v>1153.11082092014</v>
      </c>
      <c r="G56" s="18">
        <f t="shared" si="1"/>
        <v>9969.1130215307476</v>
      </c>
      <c r="H56" s="18">
        <f t="shared" si="2"/>
        <v>11122.223842450887</v>
      </c>
    </row>
    <row r="57" spans="5:8" x14ac:dyDescent="0.3">
      <c r="E57">
        <v>51</v>
      </c>
      <c r="F57" s="18">
        <f t="shared" si="0"/>
        <v>1053.4196907048324</v>
      </c>
      <c r="G57" s="18">
        <f t="shared" si="1"/>
        <v>10068.804151746053</v>
      </c>
      <c r="H57" s="18">
        <f t="shared" si="2"/>
        <v>11122.223842450885</v>
      </c>
    </row>
    <row r="58" spans="5:8" x14ac:dyDescent="0.3">
      <c r="E58">
        <v>52</v>
      </c>
      <c r="F58" s="18">
        <f t="shared" si="0"/>
        <v>952.731649187372</v>
      </c>
      <c r="G58" s="18">
        <f t="shared" si="1"/>
        <v>10169.492193263515</v>
      </c>
      <c r="H58" s="18">
        <f t="shared" si="2"/>
        <v>11122.223842450887</v>
      </c>
    </row>
    <row r="59" spans="5:8" x14ac:dyDescent="0.3">
      <c r="E59">
        <v>53</v>
      </c>
      <c r="F59" s="18">
        <f t="shared" si="0"/>
        <v>851.03672725473677</v>
      </c>
      <c r="G59" s="18">
        <f t="shared" si="1"/>
        <v>10271.187115196148</v>
      </c>
      <c r="H59" s="18">
        <f t="shared" si="2"/>
        <v>11122.223842450885</v>
      </c>
    </row>
    <row r="60" spans="5:8" x14ac:dyDescent="0.3">
      <c r="E60">
        <v>54</v>
      </c>
      <c r="F60" s="18">
        <f t="shared" si="0"/>
        <v>748.32485610277513</v>
      </c>
      <c r="G60" s="18">
        <f t="shared" si="1"/>
        <v>10373.898986348109</v>
      </c>
      <c r="H60" s="18">
        <f t="shared" si="2"/>
        <v>11122.223842450885</v>
      </c>
    </row>
    <row r="61" spans="5:8" x14ac:dyDescent="0.3">
      <c r="E61">
        <v>55</v>
      </c>
      <c r="F61" s="18">
        <f t="shared" si="0"/>
        <v>644.58586623929409</v>
      </c>
      <c r="G61" s="18">
        <f t="shared" si="1"/>
        <v>10477.637976211592</v>
      </c>
      <c r="H61" s="18">
        <f t="shared" si="2"/>
        <v>11122.223842450887</v>
      </c>
    </row>
    <row r="62" spans="5:8" x14ac:dyDescent="0.3">
      <c r="E62">
        <v>56</v>
      </c>
      <c r="F62" s="18">
        <f t="shared" si="0"/>
        <v>539.8094864771781</v>
      </c>
      <c r="G62" s="18">
        <f t="shared" si="1"/>
        <v>10582.414355973706</v>
      </c>
      <c r="H62" s="18">
        <f t="shared" si="2"/>
        <v>11122.223842450883</v>
      </c>
    </row>
    <row r="63" spans="5:8" x14ac:dyDescent="0.3">
      <c r="E63">
        <v>57</v>
      </c>
      <c r="F63" s="18">
        <f t="shared" si="0"/>
        <v>433.98534291744102</v>
      </c>
      <c r="G63" s="18">
        <f t="shared" si="1"/>
        <v>10688.238499533445</v>
      </c>
      <c r="H63" s="18">
        <f t="shared" si="2"/>
        <v>11122.223842450887</v>
      </c>
    </row>
    <row r="64" spans="5:8" x14ac:dyDescent="0.3">
      <c r="E64">
        <v>58</v>
      </c>
      <c r="F64" s="18">
        <f t="shared" si="0"/>
        <v>327.10295792210661</v>
      </c>
      <c r="G64" s="18">
        <f t="shared" si="1"/>
        <v>10795.12088452878</v>
      </c>
      <c r="H64" s="18">
        <f t="shared" si="2"/>
        <v>11122.223842450887</v>
      </c>
    </row>
    <row r="65" spans="5:8" x14ac:dyDescent="0.3">
      <c r="E65">
        <v>59</v>
      </c>
      <c r="F65" s="18">
        <f t="shared" si="0"/>
        <v>219.15174907681882</v>
      </c>
      <c r="G65" s="18">
        <f t="shared" si="1"/>
        <v>10903.072093374065</v>
      </c>
      <c r="H65" s="18">
        <f t="shared" si="2"/>
        <v>11122.223842450883</v>
      </c>
    </row>
    <row r="66" spans="5:8" x14ac:dyDescent="0.3">
      <c r="E66">
        <v>60</v>
      </c>
      <c r="F66" s="18">
        <f t="shared" si="0"/>
        <v>110.12102814307809</v>
      </c>
      <c r="G66" s="18">
        <f t="shared" si="1"/>
        <v>11012.102814307807</v>
      </c>
      <c r="H66" s="18">
        <f t="shared" si="2"/>
        <v>11122.223842450885</v>
      </c>
    </row>
    <row r="67" spans="5:8" x14ac:dyDescent="0.3">
      <c r="F67" s="18">
        <f>SUM(F7:F66)</f>
        <v>167333.43054705331</v>
      </c>
      <c r="G67" s="18">
        <f>SUM(G7:G66)</f>
        <v>499999.99999999977</v>
      </c>
      <c r="H67" s="18">
        <f>SUM(H7:H66)</f>
        <v>667333.43054705311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Practice Date Formule</vt:lpstr>
      <vt:lpstr>Sheet3</vt:lpstr>
      <vt:lpstr>Sheet5</vt:lpstr>
      <vt:lpstr>Sheet6</vt:lpstr>
      <vt:lpstr>Sheet1</vt:lpstr>
      <vt:lpstr>Sheet2</vt:lpstr>
      <vt:lpstr>Sheet7</vt:lpstr>
      <vt:lpstr>Sheet8</vt:lpstr>
      <vt:lpstr>Sheet9</vt:lpstr>
      <vt:lpstr>Item</vt:lpstr>
      <vt:lpstr>Manager</vt:lpstr>
      <vt:lpstr>Mobile_Num</vt:lpstr>
      <vt:lpstr>Payment_Type</vt:lpstr>
      <vt:lpstr>Sale_amt</vt:lpstr>
      <vt:lpstr>Unit_price</vt:lpstr>
      <vt:lpstr>Unit_Price_New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2026-07-15T08:27:18Z</dcterms:modified>
</cp:coreProperties>
</file>